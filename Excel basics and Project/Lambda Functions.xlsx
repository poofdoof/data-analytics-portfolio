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j\OneDrive\Desktop\Excel Files\"/>
    </mc:Choice>
  </mc:AlternateContent>
  <xr:revisionPtr revIDLastSave="0" documentId="13_ncr:1_{2F1C7AEC-88A5-4526-B63D-365146C0EB17}" xr6:coauthVersionLast="47" xr6:coauthVersionMax="47" xr10:uidLastSave="{00000000-0000-0000-0000-000000000000}"/>
  <bookViews>
    <workbookView xWindow="-108" yWindow="-108" windowWidth="23256" windowHeight="13176" xr2:uid="{434AB472-6580-466F-A087-4EF1748F7D62}"/>
  </bookViews>
  <sheets>
    <sheet name="Discount" sheetId="3" r:id="rId1"/>
    <sheet name="Example" sheetId="4" r:id="rId2"/>
  </sheets>
  <definedNames>
    <definedName name="Discount">_xlfn.LAMBDA(_xlpm.Age,_xlpm.Amount,IF(_xlpm.Age&gt;70,_xlpm.Amount*0.75,_xlpm.Amount*0.5))</definedName>
    <definedName name="Discount_Applied" comment="Applies 25% discount for Seniors (65+) and 10% for everyone else.">_xlfn.LAMBDA(_xlpm.age,_xlpm.amount,IF(_xlpm.age&gt;64,_xlpm.amount*0.75,_xlpm.amount*0.9))</definedName>
    <definedName name="Order_By_Sales">_xlfn.LAMBDA(_xlpm.sales,_xlpm.products, _xlfn.SORTBY(_xlpm.products,_xlpm.sales,-1))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G3" i="3" a="1"/>
  <c r="G3" i="3" s="1"/>
  <c r="G4" i="3" a="1"/>
  <c r="G4" i="3"/>
  <c r="G5" i="3" a="1"/>
  <c r="G5" i="3" s="1"/>
  <c r="G6" i="3" a="1"/>
  <c r="G6" i="3" s="1"/>
  <c r="G7" i="3" a="1"/>
  <c r="G7" i="3" s="1"/>
  <c r="G8" i="3" a="1"/>
  <c r="G8" i="3"/>
  <c r="F2" i="3" a="1"/>
  <c r="F2" i="3" s="1"/>
  <c r="F3" i="3" a="1"/>
  <c r="F3" i="3" s="1"/>
  <c r="F4" i="3" a="1"/>
  <c r="F4" i="3"/>
  <c r="F5" i="3" a="1"/>
  <c r="F5" i="3" s="1"/>
  <c r="F6" i="3" a="1"/>
  <c r="F6" i="3" s="1"/>
  <c r="F7" i="3" a="1"/>
  <c r="F7" i="3" s="1"/>
  <c r="F8" i="3" a="1"/>
  <c r="F8" i="3"/>
  <c r="E3" i="3"/>
  <c r="E4" i="3"/>
  <c r="E5" i="3"/>
  <c r="E6" i="3"/>
  <c r="E7" i="3"/>
  <c r="E8" i="3"/>
  <c r="E2" i="3"/>
  <c r="B11" i="4" a="1"/>
  <c r="B1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<sst xmlns="http://schemas.openxmlformats.org/spreadsheetml/2006/main" count="44" uniqueCount="33">
  <si>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</si>
  <si>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</si>
  <si>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</si>
  <si>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</si>
  <si>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</si>
  <si>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</si>
  <si>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</si>
  <si>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</si>
  <si>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</si>
  <si>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</si>
  <si>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December</t>
  </si>
  <si>
    <t>SAT Prep High School Book</t>
  </si>
  <si>
    <t>SAT Prep Middle School Book</t>
  </si>
  <si>
    <t>SAT Personal Tutoring Session</t>
  </si>
  <si>
    <t>Ace The SAT Bootcamp</t>
  </si>
  <si>
    <t>College Admission Counseling</t>
  </si>
  <si>
    <t>SAT Test Booklet</t>
  </si>
  <si>
    <t>Name</t>
  </si>
  <si>
    <t>Age</t>
  </si>
  <si>
    <t>Janice</t>
  </si>
  <si>
    <t>Johnny</t>
  </si>
  <si>
    <t>Purchase_Amount</t>
  </si>
  <si>
    <t>Sally</t>
  </si>
  <si>
    <t>Kevin</t>
  </si>
  <si>
    <t>Chris</t>
  </si>
  <si>
    <t>Larry</t>
  </si>
  <si>
    <t>Amanda</t>
  </si>
  <si>
    <t>Formula</t>
  </si>
  <si>
    <t>Lambda</t>
  </si>
  <si>
    <t>Custom Function</t>
  </si>
  <si>
    <t>October</t>
  </si>
  <si>
    <t>January Formula</t>
  </si>
  <si>
    <t>January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</si>
</sst>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9A16-FBD6-4963-B899-099ACAAD9342}">
  <dimension ref="B1:G8"/>
  <sheetViews>
    <sheetView tabSelected="1" zoomScale="90" zoomScaleNormal="90" workbookViewId="0">
      <selection activeCell="F2" sqref="F2"/>
    </sheetView>
  </sheetViews>
  <sheetFormatPr defaultRowHeight="14.4" x14ac:dyDescent="0.3"/>
  <cols>
    <col min="1" max="1" width="17.44140625" customWidth="1"/>
    <col min="3" max="3" width="16.88671875" customWidth="1"/>
    <col min="4" max="4" width="18.21875" customWidth="1"/>
    <col min="5" max="5" width="31.88671875" customWidth="1"/>
    <col min="6" max="6" width="38.109375" customWidth="1"/>
    <col min="7" max="7" width="26.77734375" customWidth="1"/>
  </cols>
  <sheetData>
    <row r="1" spans="2:7" x14ac:dyDescent="0.3">
      <c r="B1" s="3" t="s">
        <v>17</v>
      </c>
      <c r="C1" s="3" t="s">
        <v>18</v>
      </c>
      <c r="D1" s="3" t="s">
        <v>21</v>
      </c>
      <c r="E1" s="1" t="s">
        <v>27</v>
      </c>
      <c r="F1" s="1" t="s">
        <v>28</v>
      </c>
      <c r="G1" s="1" t="s">
        <v>29</v>
      </c>
    </row>
    <row r="2" spans="2:7" x14ac:dyDescent="0.3">
      <c r="B2" t="s">
        <v>19</v>
      </c>
      <c r="C2">
        <v>88</v>
      </c>
      <c r="D2">
        <v>265.12</v>
      </c>
      <c r="E2">
        <f>IF(C2&gt;70,D2*0.75,D2*0.5)</f>
        <v>198.84</v>
      </c>
      <c r="F2" cm="1">
        <f t="array" ref="F2">_xlfn.LAMBDA(_xlpm.Age,_xlpm.Amount,IF(_xlpm.Age&gt;70,_xlpm.Amount*0.75,_xlpm.Amount*0.5))(C2,D2)</f>
        <v>198.84</v>
      </c>
      <c r="G2" cm="1">
        <f t="array" ref="G2">Discount(C2,D2)</f>
        <v>198.84</v>
      </c>
    </row>
    <row r="3" spans="2:7" x14ac:dyDescent="0.3">
      <c r="B3" t="s">
        <v>20</v>
      </c>
      <c r="C3">
        <v>61</v>
      </c>
      <c r="D3">
        <v>13.62</v>
      </c>
      <c r="E3">
        <f t="shared" ref="E3:E8" si="0">IF(C3&gt;70,D3*0.75,D3*0.5)</f>
        <v>6.81</v>
      </c>
      <c r="F3" cm="1">
        <f t="array" ref="F3">_xlfn.LAMBDA(_xlpm.Age,_xlpm.Amount,IF(_xlpm.Age&gt;70,_xlpm.Amount*0.75,_xlpm.Amount*0.5))(C3,D3)</f>
        <v>6.81</v>
      </c>
      <c r="G3" cm="1">
        <f t="array" ref="G3">Discount(C3,D3)</f>
        <v>6.81</v>
      </c>
    </row>
    <row r="4" spans="2:7" x14ac:dyDescent="0.3">
      <c r="B4" t="s">
        <v>22</v>
      </c>
      <c r="C4">
        <v>35</v>
      </c>
      <c r="D4">
        <v>99.44</v>
      </c>
      <c r="E4">
        <f t="shared" si="0"/>
        <v>49.72</v>
      </c>
      <c r="F4" cm="1">
        <f t="array" ref="F4">_xlfn.LAMBDA(_xlpm.Age,_xlpm.Amount,IF(_xlpm.Age&gt;70,_xlpm.Amount*0.75,_xlpm.Amount*0.5))(C4,D4)</f>
        <v>49.72</v>
      </c>
      <c r="G4" cm="1">
        <f t="array" ref="G4">Discount(C4,D4)</f>
        <v>49.72</v>
      </c>
    </row>
    <row r="5" spans="2:7" x14ac:dyDescent="0.3">
      <c r="B5" t="s">
        <v>23</v>
      </c>
      <c r="C5">
        <v>97</v>
      </c>
      <c r="D5">
        <v>1743.64</v>
      </c>
      <c r="E5">
        <f t="shared" si="0"/>
        <v>1307.73</v>
      </c>
      <c r="F5" cm="1">
        <f t="array" ref="F5">_xlfn.LAMBDA(_xlpm.Age,_xlpm.Amount,IF(_xlpm.Age&gt;70,_xlpm.Amount*0.75,_xlpm.Amount*0.5))(C5,D5)</f>
        <v>1307.73</v>
      </c>
      <c r="G5" cm="1">
        <f t="array" ref="G5">Discount(C5,D5)</f>
        <v>1307.73</v>
      </c>
    </row>
    <row r="6" spans="2:7" x14ac:dyDescent="0.3">
      <c r="B6" t="s">
        <v>24</v>
      </c>
      <c r="C6">
        <v>67</v>
      </c>
      <c r="D6">
        <v>86.75</v>
      </c>
      <c r="E6">
        <f t="shared" si="0"/>
        <v>43.375</v>
      </c>
      <c r="F6" cm="1">
        <f t="array" ref="F6">_xlfn.LAMBDA(_xlpm.Age,_xlpm.Amount,IF(_xlpm.Age&gt;70,_xlpm.Amount*0.75,_xlpm.Amount*0.5))(C6,D6)</f>
        <v>43.375</v>
      </c>
      <c r="G6" cm="1">
        <f t="array" ref="G6">Discount(C6,D6)</f>
        <v>43.375</v>
      </c>
    </row>
    <row r="7" spans="2:7" x14ac:dyDescent="0.3">
      <c r="B7" t="s">
        <v>25</v>
      </c>
      <c r="C7">
        <v>45</v>
      </c>
      <c r="D7">
        <v>966.43</v>
      </c>
      <c r="E7">
        <f t="shared" si="0"/>
        <v>483.21499999999997</v>
      </c>
      <c r="F7" cm="1">
        <f t="array" ref="F7">_xlfn.LAMBDA(_xlpm.Age,_xlpm.Amount,IF(_xlpm.Age&gt;70,_xlpm.Amount*0.75,_xlpm.Amount*0.5))(C7,D7)</f>
        <v>483.21499999999997</v>
      </c>
      <c r="G7" cm="1">
        <f t="array" ref="G7">Discount(C7,D7)</f>
        <v>483.21499999999997</v>
      </c>
    </row>
    <row r="8" spans="2:7" x14ac:dyDescent="0.3">
      <c r="B8" t="s">
        <v>26</v>
      </c>
      <c r="C8">
        <v>22</v>
      </c>
      <c r="D8">
        <v>726.88</v>
      </c>
      <c r="E8">
        <f t="shared" si="0"/>
        <v>363.44</v>
      </c>
      <c r="F8" cm="1">
        <f t="array" ref="F8">_xlfn.LAMBDA(_xlpm.Age,_xlpm.Amount,IF(_xlpm.Age&gt;70,_xlpm.Amount*0.75,_xlpm.Amount*0.5))(C8,D8)</f>
        <v>363.44</v>
      </c>
      <c r="G8" cm="1">
        <f t="array" ref="G8">Discount(C8,D8)</f>
        <v>363.44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01D1-B2B5-47AD-968F-CB9B6667130F}">
  <dimension ref="B1:N16"/>
  <sheetViews>
    <sheetView zoomScale="90" zoomScaleNormal="90" workbookViewId="0">
      <selection activeCell="H17" sqref="H17"/>
    </sheetView>
  </sheetViews>
  <sheetFormatPr defaultColWidth="10.77734375" defaultRowHeight="14.4" x14ac:dyDescent="0.3"/>
  <cols>
    <col min="2" max="2" width="25.44140625" bestFit="1" customWidth="1"/>
    <col min="3" max="3" width="13.88671875" customWidth="1"/>
    <col min="4" max="4" width="12.88671875" customWidth="1"/>
    <col min="5" max="5" width="14.21875" customWidth="1"/>
  </cols>
  <sheetData>
    <row r="1" spans="2:14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30</v>
      </c>
      <c r="M1" s="1" t="s">
        <v>9</v>
      </c>
      <c r="N1" s="1" t="s">
        <v>10</v>
      </c>
    </row>
    <row r="2" spans="2:14" x14ac:dyDescent="0.3">
      <c r="B2" s="2" t="s">
        <v>11</v>
      </c>
      <c r="C2">
        <v>439</v>
      </c>
      <c r="D2">
        <v>114</v>
      </c>
      <c r="E2">
        <v>524</v>
      </c>
      <c r="F2">
        <v>240</v>
      </c>
      <c r="G2">
        <v>636</v>
      </c>
      <c r="H2">
        <v>766</v>
      </c>
      <c r="I2">
        <v>519</v>
      </c>
      <c r="J2">
        <v>733</v>
      </c>
      <c r="K2">
        <v>994</v>
      </c>
      <c r="L2">
        <v>355</v>
      </c>
      <c r="M2">
        <v>995</v>
      </c>
      <c r="N2">
        <v>140</v>
      </c>
    </row>
    <row r="3" spans="2:14" x14ac:dyDescent="0.3">
      <c r="B3" s="2" t="s">
        <v>12</v>
      </c>
      <c r="C3">
        <v>154</v>
      </c>
      <c r="D3">
        <v>248</v>
      </c>
      <c r="E3">
        <v>194</v>
      </c>
      <c r="F3">
        <v>244</v>
      </c>
      <c r="G3">
        <v>91</v>
      </c>
      <c r="H3">
        <v>103</v>
      </c>
      <c r="I3">
        <v>237</v>
      </c>
      <c r="J3">
        <v>67</v>
      </c>
      <c r="K3">
        <v>307</v>
      </c>
      <c r="L3">
        <v>98</v>
      </c>
      <c r="M3">
        <v>97</v>
      </c>
      <c r="N3">
        <v>153</v>
      </c>
    </row>
    <row r="4" spans="2:14" x14ac:dyDescent="0.3">
      <c r="B4" s="2" t="s">
        <v>13</v>
      </c>
      <c r="C4">
        <v>88</v>
      </c>
      <c r="D4">
        <v>95</v>
      </c>
      <c r="E4">
        <v>100</v>
      </c>
      <c r="F4">
        <v>89</v>
      </c>
      <c r="G4">
        <v>20</v>
      </c>
      <c r="H4">
        <v>62</v>
      </c>
      <c r="I4">
        <v>10</v>
      </c>
      <c r="J4">
        <v>47</v>
      </c>
      <c r="K4">
        <v>16</v>
      </c>
      <c r="L4">
        <v>31</v>
      </c>
      <c r="M4">
        <v>13</v>
      </c>
      <c r="N4">
        <v>13</v>
      </c>
    </row>
    <row r="5" spans="2:14" x14ac:dyDescent="0.3">
      <c r="B5" s="2" t="s">
        <v>14</v>
      </c>
      <c r="C5">
        <v>376</v>
      </c>
      <c r="D5">
        <v>239</v>
      </c>
      <c r="E5">
        <v>291</v>
      </c>
      <c r="F5">
        <v>246</v>
      </c>
      <c r="G5">
        <v>288</v>
      </c>
      <c r="H5">
        <v>176</v>
      </c>
      <c r="I5">
        <v>316</v>
      </c>
      <c r="J5">
        <v>140</v>
      </c>
      <c r="K5">
        <v>208</v>
      </c>
      <c r="L5">
        <v>386</v>
      </c>
      <c r="M5">
        <v>347</v>
      </c>
      <c r="N5">
        <v>289</v>
      </c>
    </row>
    <row r="6" spans="2:14" x14ac:dyDescent="0.3">
      <c r="B6" s="2" t="s">
        <v>15</v>
      </c>
      <c r="C6">
        <v>12</v>
      </c>
      <c r="D6">
        <v>5</v>
      </c>
      <c r="E6">
        <v>2</v>
      </c>
      <c r="F6">
        <v>3</v>
      </c>
      <c r="G6">
        <v>2</v>
      </c>
      <c r="H6">
        <v>9</v>
      </c>
      <c r="I6">
        <v>2</v>
      </c>
      <c r="J6">
        <v>3</v>
      </c>
      <c r="K6">
        <v>23</v>
      </c>
      <c r="L6">
        <v>7</v>
      </c>
      <c r="M6">
        <v>6</v>
      </c>
      <c r="N6">
        <v>7</v>
      </c>
    </row>
    <row r="7" spans="2:14" x14ac:dyDescent="0.3">
      <c r="B7" s="2" t="s">
        <v>16</v>
      </c>
      <c r="C7">
        <v>285</v>
      </c>
      <c r="D7">
        <v>480</v>
      </c>
      <c r="E7">
        <v>346</v>
      </c>
      <c r="F7">
        <v>1105</v>
      </c>
      <c r="G7">
        <v>1457</v>
      </c>
      <c r="H7">
        <v>1424</v>
      </c>
      <c r="I7">
        <v>1190</v>
      </c>
      <c r="J7">
        <v>1023</v>
      </c>
      <c r="K7">
        <v>1055</v>
      </c>
      <c r="L7">
        <v>530</v>
      </c>
      <c r="M7">
        <v>1022</v>
      </c>
      <c r="N7">
        <v>997</v>
      </c>
    </row>
    <row r="10" spans="2:14" x14ac:dyDescent="0.3">
      <c r="B10" s="3" t="s">
        <v>31</v>
      </c>
      <c r="C10" s="3" t="s">
        <v>32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7</v>
      </c>
      <c r="K10" s="1" t="s">
        <v>8</v>
      </c>
      <c r="L10" s="1" t="s">
        <v>30</v>
      </c>
      <c r="M10" s="1" t="s">
        <v>9</v>
      </c>
      <c r="N10" s="1" t="s">
        <v>10</v>
      </c>
    </row>
    <row r="11" spans="2:14" x14ac:dyDescent="0.3">
      <c r="B11" t="str" cm="1">
        <f t="array" ref="B11:B16">_xlfn.LAMBDA(_xlpm.sales,_xlpm.products, _xlfn.SORTBY(_xlpm.products,_xlpm.sales,-1))(C2:C7,B2:B7)</f>
        <v>SAT Prep High School Book</v>
      </c>
    </row>
    <row r="12" spans="2:14" x14ac:dyDescent="0.3">
      <c r="B12" t="str">
        <v>Ace The SAT Bootcamp</v>
      </c>
    </row>
    <row r="13" spans="2:14" x14ac:dyDescent="0.3">
      <c r="B13" t="str">
        <v>SAT Test Booklet</v>
      </c>
    </row>
    <row r="14" spans="2:14" x14ac:dyDescent="0.3">
      <c r="B14" t="str">
        <v>SAT Prep Middle School Book</v>
      </c>
    </row>
    <row r="15" spans="2:14" x14ac:dyDescent="0.3">
      <c r="B15" t="str">
        <v>SAT Personal Tutoring Session</v>
      </c>
    </row>
    <row r="16" spans="2:14" x14ac:dyDescent="0.3">
      <c r="B16" t="str">
        <v>College Admission Counseling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Prajjwal Raj</cp:lastModifiedBy>
  <dcterms:created xsi:type="dcterms:W3CDTF">2024-05-13T16:02:02Z</dcterms:created>
  <dcterms:modified xsi:type="dcterms:W3CDTF">2026-02-05T11:34:56Z</dcterms:modified>
</cp:coreProperties>
</file>